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intaroh\Documents\ussi-timeatack\"/>
    </mc:Choice>
  </mc:AlternateContent>
  <xr:revisionPtr revIDLastSave="0" documentId="13_ncr:1_{B4E93581-EF3E-427F-9656-BBAD83DD0A8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</calcChain>
</file>

<file path=xl/sharedStrings.xml><?xml version="1.0" encoding="utf-8"?>
<sst xmlns="http://schemas.openxmlformats.org/spreadsheetml/2006/main" count="62" uniqueCount="6">
  <si>
    <t xml:space="preserve">target_lux [lx] </t>
  </si>
  <si>
    <t>current_lux [lx]</t>
  </si>
  <si>
    <t xml:space="preserve"> cds_ohm [Ω]</t>
  </si>
  <si>
    <t xml:space="preserve"> tr_current [A]</t>
  </si>
  <si>
    <t>tr_current_hosei</t>
    <phoneticPr fontId="2"/>
  </si>
  <si>
    <t>補正値(tr_current*(4.7/100)</t>
    <rPh sb="0" eb="3">
      <t>ホセイチ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</si>
</sst>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10"/>
      <color rgb="FFDAE3E3"/>
      <name val="Arial Unicode MS"/>
      <family val="2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177979</xdr:colOff>
      <xdr:row>16</xdr:row>
      <xdr:rowOff>82730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D20C80D-AAE2-07BC-BE8B-54B0C3317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0400" y="228600"/>
          <a:ext cx="3479979" cy="35117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H4:S35"/>
  <sheetViews>
    <sheetView tabSelected="1" topLeftCell="B12" zoomScale="85" workbookViewId="0">
      <selection activeCell="J25" sqref="J25"/>
    </sheetView>
  </sheetViews>
  <sheetFormatPr defaultRowHeight="18"/>
  <cols>
    <col min="12" max="12" width="12.75" bestFit="1" customWidth="1"/>
    <col min="19" max="19" width="13.83203125" bestFit="1" customWidth="1"/>
  </cols>
  <sheetData>
    <row r="4" spans="8:19">
      <c r="L4" t="s">
        <v>5</v>
      </c>
    </row>
    <row r="5" spans="8:19">
      <c r="H5" s="1">
        <v>10</v>
      </c>
      <c r="I5">
        <v>10.57</v>
      </c>
      <c r="J5">
        <v>10998.793900000001</v>
      </c>
      <c r="K5">
        <v>7.2799999999999998E-6</v>
      </c>
      <c r="L5">
        <f>(K5*4.7)/100</f>
        <v>3.4215999999999999E-7</v>
      </c>
      <c r="M5" s="1">
        <v>10</v>
      </c>
      <c r="N5">
        <v>1070.3800000000001</v>
      </c>
      <c r="O5">
        <v>889.44219999999996</v>
      </c>
      <c r="P5">
        <v>1.0222300000000001E-3</v>
      </c>
      <c r="S5" t="s">
        <v>4</v>
      </c>
    </row>
    <row r="6" spans="8:19">
      <c r="H6" s="1">
        <v>20</v>
      </c>
      <c r="I6">
        <v>18.72</v>
      </c>
      <c r="J6">
        <v>8456.7479999999996</v>
      </c>
      <c r="K6">
        <v>1.2480000000000001E-5</v>
      </c>
      <c r="L6">
        <f t="shared" ref="L6:L20" si="0">(K6*100)/4.7</f>
        <v>2.6553191489361703E-4</v>
      </c>
      <c r="M6" s="1" t="s">
        <v>0</v>
      </c>
      <c r="N6" t="s">
        <v>1</v>
      </c>
      <c r="O6" t="s">
        <v>2</v>
      </c>
      <c r="P6" t="s">
        <v>3</v>
      </c>
    </row>
    <row r="7" spans="8:19">
      <c r="H7" s="1">
        <v>30</v>
      </c>
      <c r="I7">
        <v>27.78</v>
      </c>
      <c r="J7">
        <v>6602.0063</v>
      </c>
      <c r="K7">
        <v>1.9760000000000001E-5</v>
      </c>
      <c r="L7">
        <f t="shared" si="0"/>
        <v>4.2042553191489357E-4</v>
      </c>
      <c r="M7" s="1">
        <v>10</v>
      </c>
      <c r="N7">
        <v>1073.3499999999999</v>
      </c>
      <c r="O7">
        <v>841.79110000000003</v>
      </c>
      <c r="P7">
        <v>1.0211899999999999E-3</v>
      </c>
      <c r="S7">
        <f>(P7*4.7)/100</f>
        <v>4.7995929999999994E-5</v>
      </c>
    </row>
    <row r="8" spans="8:19">
      <c r="H8" s="1">
        <v>40</v>
      </c>
      <c r="I8">
        <v>36.24</v>
      </c>
      <c r="J8">
        <v>5662.6508000000003</v>
      </c>
      <c r="K8">
        <v>2.5999999999999998E-5</v>
      </c>
      <c r="L8">
        <f t="shared" si="0"/>
        <v>5.5319148936170206E-4</v>
      </c>
      <c r="M8" s="1" t="s">
        <v>0</v>
      </c>
      <c r="N8" t="s">
        <v>1</v>
      </c>
      <c r="O8" t="s">
        <v>2</v>
      </c>
      <c r="P8" t="s">
        <v>3</v>
      </c>
      <c r="S8" t="e">
        <f t="shared" ref="S8:S35" si="1">(P8*100)/4.7</f>
        <v>#VALUE!</v>
      </c>
    </row>
    <row r="9" spans="8:19">
      <c r="H9" s="1">
        <v>50</v>
      </c>
      <c r="I9">
        <v>48.37</v>
      </c>
      <c r="J9">
        <v>4755.6513000000004</v>
      </c>
      <c r="K9">
        <v>3.4319999999999997E-5</v>
      </c>
      <c r="L9">
        <f t="shared" si="0"/>
        <v>7.3021276595744671E-4</v>
      </c>
      <c r="M9" s="1">
        <v>10</v>
      </c>
      <c r="N9">
        <v>948.9</v>
      </c>
      <c r="O9">
        <v>985.03</v>
      </c>
      <c r="P9">
        <v>9.9832000000000002E-4</v>
      </c>
      <c r="S9">
        <f t="shared" si="1"/>
        <v>2.1240851063829787E-2</v>
      </c>
    </row>
    <row r="10" spans="8:19">
      <c r="H10" s="1">
        <v>60</v>
      </c>
      <c r="I10">
        <v>54.32</v>
      </c>
      <c r="J10">
        <v>4478.5864000000001</v>
      </c>
      <c r="K10">
        <v>3.9520000000000001E-5</v>
      </c>
      <c r="L10">
        <f t="shared" si="0"/>
        <v>8.4085106382978715E-4</v>
      </c>
      <c r="M10" s="1" t="s">
        <v>0</v>
      </c>
      <c r="N10" t="s">
        <v>1</v>
      </c>
      <c r="O10" t="s">
        <v>2</v>
      </c>
      <c r="P10" t="s">
        <v>3</v>
      </c>
      <c r="S10" t="e">
        <f t="shared" si="1"/>
        <v>#VALUE!</v>
      </c>
    </row>
    <row r="11" spans="8:19">
      <c r="H11" s="1">
        <v>70</v>
      </c>
      <c r="I11">
        <v>68.319999999999993</v>
      </c>
      <c r="J11">
        <v>3879.3652000000002</v>
      </c>
      <c r="K11">
        <v>4.888E-5</v>
      </c>
      <c r="L11">
        <f t="shared" si="0"/>
        <v>1.0399999999999999E-3</v>
      </c>
      <c r="M11" s="1">
        <v>10</v>
      </c>
      <c r="N11">
        <v>907.93</v>
      </c>
      <c r="O11">
        <v>985.03</v>
      </c>
      <c r="P11">
        <v>8.3609000000000005E-4</v>
      </c>
      <c r="S11">
        <f t="shared" si="1"/>
        <v>1.7789148936170212E-2</v>
      </c>
    </row>
    <row r="12" spans="8:19">
      <c r="H12" s="1">
        <v>80</v>
      </c>
      <c r="I12">
        <v>75.47</v>
      </c>
      <c r="J12">
        <v>3664.9104000000002</v>
      </c>
      <c r="K12">
        <v>5.4079999999999997E-5</v>
      </c>
      <c r="L12">
        <f t="shared" si="0"/>
        <v>1.1506382978723403E-3</v>
      </c>
      <c r="M12" s="1" t="s">
        <v>0</v>
      </c>
      <c r="N12" t="s">
        <v>1</v>
      </c>
      <c r="O12" t="s">
        <v>2</v>
      </c>
      <c r="P12" t="s">
        <v>3</v>
      </c>
      <c r="S12" t="e">
        <f t="shared" si="1"/>
        <v>#VALUE!</v>
      </c>
    </row>
    <row r="13" spans="8:19">
      <c r="H13" s="1">
        <v>90</v>
      </c>
      <c r="I13">
        <v>84.52</v>
      </c>
      <c r="J13">
        <v>3399.3712999999998</v>
      </c>
      <c r="K13">
        <v>6.135E-5</v>
      </c>
      <c r="L13">
        <f t="shared" si="0"/>
        <v>1.3053191489361701E-3</v>
      </c>
      <c r="M13" s="1">
        <v>10</v>
      </c>
      <c r="N13">
        <v>731.52</v>
      </c>
      <c r="O13">
        <v>1081</v>
      </c>
      <c r="P13">
        <v>7.4562000000000001E-4</v>
      </c>
      <c r="S13">
        <f t="shared" si="1"/>
        <v>1.5864255319148937E-2</v>
      </c>
    </row>
    <row r="14" spans="8:19">
      <c r="H14" s="1">
        <v>100</v>
      </c>
      <c r="I14">
        <v>91.41</v>
      </c>
      <c r="J14">
        <v>3293.9328</v>
      </c>
      <c r="K14">
        <v>6.5510000000000001E-5</v>
      </c>
      <c r="L14">
        <f t="shared" si="0"/>
        <v>1.3938297872340426E-3</v>
      </c>
      <c r="M14" s="1" t="s">
        <v>0</v>
      </c>
      <c r="N14" t="s">
        <v>1</v>
      </c>
      <c r="O14" t="s">
        <v>2</v>
      </c>
      <c r="P14" t="s">
        <v>3</v>
      </c>
      <c r="S14" t="e">
        <f t="shared" si="1"/>
        <v>#VALUE!</v>
      </c>
    </row>
    <row r="15" spans="8:19">
      <c r="H15" s="1">
        <v>200</v>
      </c>
      <c r="I15">
        <v>182.71</v>
      </c>
      <c r="J15">
        <v>2263.3195000000001</v>
      </c>
      <c r="K15">
        <v>1.3103E-4</v>
      </c>
      <c r="L15">
        <f t="shared" si="0"/>
        <v>2.7878723404255318E-3</v>
      </c>
      <c r="M15" s="1">
        <v>10</v>
      </c>
      <c r="N15">
        <v>672.1</v>
      </c>
      <c r="O15">
        <v>1225.6769999999999</v>
      </c>
      <c r="P15">
        <v>7.1962000000000003E-4</v>
      </c>
      <c r="S15">
        <f t="shared" si="1"/>
        <v>1.5311063829787233E-2</v>
      </c>
    </row>
    <row r="16" spans="8:19">
      <c r="H16" s="1">
        <v>300</v>
      </c>
      <c r="I16">
        <v>270.64</v>
      </c>
      <c r="J16">
        <v>1813.1977999999999</v>
      </c>
      <c r="K16">
        <v>1.9342E-4</v>
      </c>
      <c r="L16">
        <f t="shared" si="0"/>
        <v>4.1153191489361708E-3</v>
      </c>
      <c r="M16" s="1" t="s">
        <v>0</v>
      </c>
      <c r="N16" t="s">
        <v>1</v>
      </c>
      <c r="O16" t="s">
        <v>2</v>
      </c>
      <c r="P16" t="s">
        <v>3</v>
      </c>
      <c r="S16" t="e">
        <f t="shared" si="1"/>
        <v>#VALUE!</v>
      </c>
    </row>
    <row r="17" spans="8:19">
      <c r="H17" s="1">
        <v>400</v>
      </c>
      <c r="I17">
        <v>360.98</v>
      </c>
      <c r="J17">
        <v>1517.6588999999999</v>
      </c>
      <c r="K17">
        <v>2.5789999999999998E-4</v>
      </c>
      <c r="L17">
        <f t="shared" si="0"/>
        <v>5.4872340425531907E-3</v>
      </c>
      <c r="M17" s="1">
        <v>10</v>
      </c>
      <c r="N17">
        <v>714.22</v>
      </c>
      <c r="O17">
        <v>1129.1289999999999</v>
      </c>
      <c r="P17">
        <v>6.5826000000000003E-4</v>
      </c>
      <c r="S17">
        <f t="shared" si="1"/>
        <v>1.4005531914893619E-2</v>
      </c>
    </row>
    <row r="18" spans="8:19">
      <c r="H18" s="1">
        <v>500</v>
      </c>
      <c r="I18">
        <v>459.44</v>
      </c>
      <c r="J18">
        <v>1322.6130000000001</v>
      </c>
      <c r="K18">
        <v>3.2861000000000001E-4</v>
      </c>
      <c r="L18">
        <f t="shared" si="0"/>
        <v>6.9917021276595746E-3</v>
      </c>
      <c r="M18" s="1" t="s">
        <v>0</v>
      </c>
      <c r="N18" t="s">
        <v>1</v>
      </c>
      <c r="O18" t="s">
        <v>2</v>
      </c>
      <c r="P18" t="s">
        <v>3</v>
      </c>
      <c r="S18" t="e">
        <f t="shared" si="1"/>
        <v>#VALUE!</v>
      </c>
    </row>
    <row r="19" spans="8:19">
      <c r="H19" s="1">
        <v>600</v>
      </c>
      <c r="I19">
        <v>541.44000000000005</v>
      </c>
      <c r="J19">
        <v>1225.6769999999999</v>
      </c>
      <c r="K19">
        <v>3.8789E-4</v>
      </c>
      <c r="L19">
        <f t="shared" si="0"/>
        <v>8.2529787234042543E-3</v>
      </c>
      <c r="M19" s="1">
        <v>10</v>
      </c>
      <c r="N19">
        <v>1087.19</v>
      </c>
      <c r="O19">
        <v>937.1884</v>
      </c>
      <c r="P19">
        <v>9.4943999999999996E-4</v>
      </c>
      <c r="S19">
        <f t="shared" si="1"/>
        <v>2.0200851063829788E-2</v>
      </c>
    </row>
    <row r="20" spans="8:19">
      <c r="H20" s="1">
        <v>700</v>
      </c>
      <c r="I20">
        <v>632.32000000000005</v>
      </c>
      <c r="J20">
        <v>1129.1289999999999</v>
      </c>
      <c r="K20">
        <v>4.5652000000000003E-4</v>
      </c>
      <c r="L20">
        <f t="shared" si="0"/>
        <v>9.7131914893617034E-3</v>
      </c>
      <c r="M20" s="1" t="s">
        <v>0</v>
      </c>
      <c r="N20" t="s">
        <v>1</v>
      </c>
      <c r="O20" t="s">
        <v>2</v>
      </c>
      <c r="P20" t="s">
        <v>3</v>
      </c>
      <c r="S20" t="e">
        <f t="shared" si="1"/>
        <v>#VALUE!</v>
      </c>
    </row>
    <row r="21" spans="8:19">
      <c r="M21" s="1">
        <v>10</v>
      </c>
      <c r="N21">
        <v>1060.81</v>
      </c>
      <c r="O21">
        <v>889.44219999999996</v>
      </c>
      <c r="P21">
        <v>1.01599E-3</v>
      </c>
      <c r="S21">
        <f t="shared" si="1"/>
        <v>2.16168085106383E-2</v>
      </c>
    </row>
    <row r="22" spans="8:19">
      <c r="M22" s="1" t="s">
        <v>0</v>
      </c>
      <c r="N22" t="s">
        <v>1</v>
      </c>
      <c r="O22" t="s">
        <v>2</v>
      </c>
      <c r="P22" t="s">
        <v>3</v>
      </c>
      <c r="S22" t="e">
        <f t="shared" si="1"/>
        <v>#VALUE!</v>
      </c>
    </row>
    <row r="23" spans="8:19">
      <c r="M23" s="1">
        <v>10</v>
      </c>
      <c r="N23">
        <v>1113.51</v>
      </c>
      <c r="O23">
        <v>794.2346</v>
      </c>
      <c r="P23">
        <v>1.0222300000000001E-3</v>
      </c>
      <c r="S23">
        <f t="shared" si="1"/>
        <v>2.1749574468085106E-2</v>
      </c>
    </row>
    <row r="24" spans="8:19">
      <c r="M24" s="1" t="s">
        <v>0</v>
      </c>
      <c r="N24" t="s">
        <v>1</v>
      </c>
      <c r="O24" t="s">
        <v>2</v>
      </c>
      <c r="P24" t="s">
        <v>3</v>
      </c>
      <c r="S24" t="e">
        <f t="shared" si="1"/>
        <v>#VALUE!</v>
      </c>
    </row>
    <row r="25" spans="8:19">
      <c r="M25" s="1">
        <v>10</v>
      </c>
      <c r="N25">
        <v>1112.82</v>
      </c>
      <c r="O25">
        <v>746.77260000000001</v>
      </c>
      <c r="P25">
        <v>1.0243100000000001E-3</v>
      </c>
      <c r="S25">
        <f t="shared" si="1"/>
        <v>2.1793829787234043E-2</v>
      </c>
    </row>
    <row r="26" spans="8:19">
      <c r="M26" s="1" t="s">
        <v>0</v>
      </c>
      <c r="N26" t="s">
        <v>1</v>
      </c>
      <c r="O26" t="s">
        <v>2</v>
      </c>
      <c r="P26" t="s">
        <v>3</v>
      </c>
      <c r="S26" t="e">
        <f t="shared" si="1"/>
        <v>#VALUE!</v>
      </c>
    </row>
    <row r="27" spans="8:19">
      <c r="M27" s="1">
        <v>10</v>
      </c>
      <c r="N27">
        <v>952.11</v>
      </c>
      <c r="O27">
        <v>937.1884</v>
      </c>
      <c r="P27">
        <v>1.0024700000000001E-3</v>
      </c>
      <c r="S27">
        <f t="shared" si="1"/>
        <v>2.1329148936170213E-2</v>
      </c>
    </row>
    <row r="28" spans="8:19">
      <c r="M28" s="1" t="s">
        <v>0</v>
      </c>
      <c r="N28" t="s">
        <v>1</v>
      </c>
      <c r="O28" t="s">
        <v>2</v>
      </c>
      <c r="P28" t="s">
        <v>3</v>
      </c>
      <c r="S28" t="e">
        <f t="shared" si="1"/>
        <v>#VALUE!</v>
      </c>
    </row>
    <row r="29" spans="8:19">
      <c r="M29" s="1">
        <v>10</v>
      </c>
      <c r="N29">
        <v>468.49</v>
      </c>
      <c r="O29">
        <v>1566.6666</v>
      </c>
      <c r="P29">
        <v>6.8738000000000002E-4</v>
      </c>
      <c r="S29">
        <f t="shared" si="1"/>
        <v>1.4625106382978724E-2</v>
      </c>
    </row>
    <row r="30" spans="8:19">
      <c r="M30" s="1" t="s">
        <v>0</v>
      </c>
      <c r="N30" t="s">
        <v>1</v>
      </c>
      <c r="O30" t="s">
        <v>2</v>
      </c>
      <c r="P30" t="s">
        <v>3</v>
      </c>
      <c r="S30" t="e">
        <f t="shared" si="1"/>
        <v>#VALUE!</v>
      </c>
    </row>
    <row r="31" spans="8:19">
      <c r="M31" s="1">
        <v>10</v>
      </c>
      <c r="N31">
        <v>147.68</v>
      </c>
      <c r="O31">
        <v>2824.8703</v>
      </c>
      <c r="P31">
        <v>7.4145999999999999E-4</v>
      </c>
      <c r="S31">
        <f t="shared" si="1"/>
        <v>1.5775744680851064E-2</v>
      </c>
    </row>
    <row r="32" spans="8:19">
      <c r="M32" s="1" t="s">
        <v>0</v>
      </c>
      <c r="N32" t="s">
        <v>1</v>
      </c>
      <c r="O32" t="s">
        <v>2</v>
      </c>
      <c r="P32" t="s">
        <v>3</v>
      </c>
      <c r="S32" t="e">
        <f t="shared" si="1"/>
        <v>#VALUE!</v>
      </c>
    </row>
    <row r="33" spans="13:19">
      <c r="M33" s="1">
        <v>10</v>
      </c>
      <c r="N33">
        <v>157.69</v>
      </c>
      <c r="O33">
        <v>2876.5560999999998</v>
      </c>
      <c r="P33">
        <v>3.0053000000000002E-4</v>
      </c>
      <c r="S33">
        <f t="shared" si="1"/>
        <v>6.394255319148937E-3</v>
      </c>
    </row>
    <row r="34" spans="13:19">
      <c r="M34" s="1" t="s">
        <v>0</v>
      </c>
      <c r="N34" t="s">
        <v>1</v>
      </c>
      <c r="O34" t="s">
        <v>2</v>
      </c>
      <c r="P34" t="s">
        <v>3</v>
      </c>
      <c r="S34" t="e">
        <f t="shared" si="1"/>
        <v>#VALUE!</v>
      </c>
    </row>
    <row r="35" spans="13:19">
      <c r="M35" s="1">
        <v>10</v>
      </c>
      <c r="N35">
        <v>1007.25</v>
      </c>
      <c r="O35">
        <v>889.44219999999996</v>
      </c>
      <c r="P35">
        <v>1.01599E-3</v>
      </c>
      <c r="S35">
        <f t="shared" si="1"/>
        <v>2.16168085106383E-2</v>
      </c>
    </row>
  </sheetData>
  <phoneticPr fontId="2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lintaroh</dc:creator>
  <cp:lastModifiedBy>野秋　琳太郎</cp:lastModifiedBy>
  <dcterms:created xsi:type="dcterms:W3CDTF">2015-06-05T18:19:34Z</dcterms:created>
  <dcterms:modified xsi:type="dcterms:W3CDTF">2026-05-28T02:28:47Z</dcterms:modified>
</cp:coreProperties>
</file>